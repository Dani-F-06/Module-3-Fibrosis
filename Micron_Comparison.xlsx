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26dde005928ab/Desktop/Comp_BME/Module-3-Fibrosis/"/>
    </mc:Choice>
  </mc:AlternateContent>
  <xr:revisionPtr revIDLastSave="2" documentId="8_{9EB82E95-7E40-418F-AC3B-FEFD46FB055C}" xr6:coauthVersionLast="47" xr6:coauthVersionMax="47" xr10:uidLastSave="{2551FA75-01DE-4223-8071-EC1179AC14CD}"/>
  <bookViews>
    <workbookView xWindow="1740" yWindow="1740" windowWidth="19200" windowHeight="11170" xr2:uid="{7C4B40AD-3E23-4794-BA52-E9F2AA549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15" i="1"/>
  <c r="F10" i="1"/>
  <c r="F11" i="1"/>
  <c r="F12" i="1"/>
  <c r="F13" i="1"/>
  <c r="F9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<sst xmlns="http://schemas.openxmlformats.org/spreadsheetml/2006/main" count="12" uniqueCount="6">
  <si>
    <t>Linear</t>
  </si>
  <si>
    <t>Quadratic</t>
  </si>
  <si>
    <t xml:space="preserve">Linear </t>
  </si>
  <si>
    <t>Cubic</t>
  </si>
  <si>
    <t>Percent Difference</t>
  </si>
  <si>
    <t>Micron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</si>
</sst>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CBFC-D50E-4B30-B9E1-A6034A862138}">
  <dimension ref="C2:F19"/>
  <sheetViews>
    <sheetView tabSelected="1" workbookViewId="0">
      <selection activeCell="K14" sqref="K14"/>
    </sheetView>
  </sheetViews>
  <sheetFormatPr defaultRowHeight="14.5" x14ac:dyDescent="0.35"/>
  <cols>
    <col min="3" max="3" width="14.54296875" customWidth="1"/>
    <col min="4" max="4" width="17" customWidth="1"/>
    <col min="5" max="5" width="16.7265625" customWidth="1"/>
    <col min="6" max="6" width="17.90625" customWidth="1"/>
  </cols>
  <sheetData>
    <row r="2" spans="3:6" x14ac:dyDescent="0.35">
      <c r="C2" s="1" t="s">
        <v>5</v>
      </c>
      <c r="D2" s="1" t="s">
        <v>0</v>
      </c>
      <c r="E2" s="1" t="s">
        <v>1</v>
      </c>
      <c r="F2" s="1" t="s">
        <v>4</v>
      </c>
    </row>
    <row r="3" spans="3:6" x14ac:dyDescent="0.35">
      <c r="C3" s="1">
        <v>80</v>
      </c>
      <c r="D3" s="1">
        <v>0.79038143157958896</v>
      </c>
      <c r="E3" s="1">
        <v>0.79038143157958896</v>
      </c>
      <c r="F3" s="1">
        <f>((ABS(E3-D3))/(AVERAGE(D3,E3))*100)</f>
        <v>0</v>
      </c>
    </row>
    <row r="4" spans="3:6" x14ac:dyDescent="0.35">
      <c r="C4" s="1">
        <v>85</v>
      </c>
      <c r="D4" s="1">
        <v>0.79499880472818996</v>
      </c>
      <c r="E4" s="1">
        <v>0.79341136600127304</v>
      </c>
      <c r="F4" s="1">
        <f t="shared" ref="F4:F19" si="0">((ABS(E4-D4))/(AVERAGE(D4,E4))*100)</f>
        <v>0.19987768350638238</v>
      </c>
    </row>
    <row r="5" spans="3:6" x14ac:dyDescent="0.35">
      <c r="C5" s="1">
        <v>500</v>
      </c>
      <c r="D5" s="1">
        <v>1.2393935934289699</v>
      </c>
      <c r="E5" s="1">
        <v>1.2653168901288701</v>
      </c>
      <c r="F5" s="1">
        <f t="shared" si="0"/>
        <v>2.0699635243333292</v>
      </c>
    </row>
    <row r="6" spans="3:6" x14ac:dyDescent="0.35">
      <c r="C6" s="1">
        <v>700</v>
      </c>
      <c r="D6" s="1">
        <v>1.3693436709317199</v>
      </c>
      <c r="E6" s="1">
        <v>1.3874158818759399</v>
      </c>
      <c r="F6" s="1">
        <f t="shared" si="0"/>
        <v>1.3111198563410482</v>
      </c>
    </row>
    <row r="7" spans="3:6" x14ac:dyDescent="0.35">
      <c r="C7" s="1">
        <v>4000</v>
      </c>
      <c r="D7" s="1">
        <v>2.00236511230468</v>
      </c>
      <c r="E7" s="1">
        <v>2.0799531575322399</v>
      </c>
      <c r="F7" s="1">
        <f t="shared" si="0"/>
        <v>3.8011757094411647</v>
      </c>
    </row>
    <row r="8" spans="3:6" x14ac:dyDescent="0.35">
      <c r="C8" s="1" t="s">
        <v>5</v>
      </c>
      <c r="D8" s="1" t="s">
        <v>2</v>
      </c>
      <c r="E8" s="1" t="s">
        <v>3</v>
      </c>
      <c r="F8" s="1" t="s">
        <v>4</v>
      </c>
    </row>
    <row r="9" spans="3:6" x14ac:dyDescent="0.35">
      <c r="C9" s="1">
        <v>80</v>
      </c>
      <c r="D9" s="1">
        <v>0.79038143157958896</v>
      </c>
      <c r="E9" s="1">
        <v>0.79038143157958896</v>
      </c>
      <c r="F9" s="1">
        <f t="shared" si="0"/>
        <v>0</v>
      </c>
    </row>
    <row r="10" spans="3:6" x14ac:dyDescent="0.35">
      <c r="C10" s="1">
        <v>85</v>
      </c>
      <c r="D10" s="1">
        <v>0.79499880472818996</v>
      </c>
      <c r="E10" s="1">
        <v>0.78960502402328603</v>
      </c>
      <c r="F10" s="1">
        <f t="shared" si="0"/>
        <v>0.68077340304721312</v>
      </c>
    </row>
    <row r="11" spans="3:6" x14ac:dyDescent="0.35">
      <c r="C11" s="1">
        <v>500</v>
      </c>
      <c r="D11" s="1">
        <v>1.2393935934289699</v>
      </c>
      <c r="E11" s="1">
        <v>1.27154822961528</v>
      </c>
      <c r="F11" s="1">
        <f t="shared" si="0"/>
        <v>2.5611613850396595</v>
      </c>
    </row>
    <row r="12" spans="3:6" x14ac:dyDescent="0.35">
      <c r="C12" s="1">
        <v>700</v>
      </c>
      <c r="D12" s="1">
        <v>1.3693436709317199</v>
      </c>
      <c r="E12" s="1">
        <v>1.38424664669069</v>
      </c>
      <c r="F12" s="1">
        <f t="shared" si="0"/>
        <v>1.0824395817775845</v>
      </c>
    </row>
    <row r="13" spans="3:6" x14ac:dyDescent="0.35">
      <c r="C13" s="1">
        <v>4000</v>
      </c>
      <c r="D13" s="1">
        <v>2.00236511230468</v>
      </c>
      <c r="E13" s="1">
        <v>2.08027443645795</v>
      </c>
      <c r="F13" s="1">
        <f t="shared" si="0"/>
        <v>3.8166153647770753</v>
      </c>
    </row>
    <row r="14" spans="3:6" x14ac:dyDescent="0.35">
      <c r="C14" s="1" t="s">
        <v>5</v>
      </c>
      <c r="D14" s="1" t="s">
        <v>1</v>
      </c>
      <c r="E14" s="1" t="s">
        <v>3</v>
      </c>
      <c r="F14" s="1" t="s">
        <v>4</v>
      </c>
    </row>
    <row r="15" spans="3:6" x14ac:dyDescent="0.35">
      <c r="C15" s="1">
        <v>80</v>
      </c>
      <c r="D15" s="1">
        <v>0.79038143157958896</v>
      </c>
      <c r="E15" s="1">
        <v>0.79038143157958896</v>
      </c>
      <c r="F15" s="1">
        <f t="shared" si="0"/>
        <v>0</v>
      </c>
    </row>
    <row r="16" spans="3:6" x14ac:dyDescent="0.35">
      <c r="C16" s="1">
        <v>85</v>
      </c>
      <c r="D16" s="1">
        <v>0.79341136600127304</v>
      </c>
      <c r="E16" s="1">
        <v>0.78960502402328603</v>
      </c>
      <c r="F16" s="1">
        <f t="shared" si="0"/>
        <v>0.48089735545037071</v>
      </c>
    </row>
    <row r="17" spans="3:6" x14ac:dyDescent="0.35">
      <c r="C17" s="1">
        <v>500</v>
      </c>
      <c r="D17" s="1">
        <v>1.2653168901288701</v>
      </c>
      <c r="E17" s="1">
        <v>1.27154822961528</v>
      </c>
      <c r="F17" s="1">
        <f t="shared" si="0"/>
        <v>0.4912629716031901</v>
      </c>
    </row>
    <row r="18" spans="3:6" x14ac:dyDescent="0.35">
      <c r="C18" s="1">
        <v>700</v>
      </c>
      <c r="D18" s="1">
        <v>1.3874158818759399</v>
      </c>
      <c r="E18" s="1">
        <v>1.38424664669069</v>
      </c>
      <c r="F18" s="1">
        <f t="shared" si="0"/>
        <v>0.22868838847338999</v>
      </c>
    </row>
    <row r="19" spans="3:6" x14ac:dyDescent="0.35">
      <c r="C19" s="1">
        <v>4000</v>
      </c>
      <c r="D19" s="1">
        <v>2.0799531575322399</v>
      </c>
      <c r="E19" s="1">
        <v>2.08027443645795</v>
      </c>
      <c r="F19" s="1">
        <f t="shared" si="0"/>
        <v>1.5445257186131616E-2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Kim</dc:creator>
  <cp:lastModifiedBy>Lauren Kim</cp:lastModifiedBy>
  <dcterms:created xsi:type="dcterms:W3CDTF">2026-04-01T18:30:53Z</dcterms:created>
  <dcterms:modified xsi:type="dcterms:W3CDTF">2026-04-01T20:18:40Z</dcterms:modified>
</cp:coreProperties>
</file>